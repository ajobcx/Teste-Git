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b7bf0c5dc51cc08/Desktop/"/>
    </mc:Choice>
  </mc:AlternateContent>
  <xr:revisionPtr revIDLastSave="4" documentId="11_F567AC3C3731DC44A9076FC2F2DC1E4B5E169FB8" xr6:coauthVersionLast="47" xr6:coauthVersionMax="47" xr10:uidLastSave="{E8BCA3B6-B6EB-491B-8007-BE75190096CA}"/>
  <bookViews>
    <workbookView xWindow="-108" yWindow="-108" windowWidth="23256" windowHeight="12456" tabRatio="500" activeTab="2" xr2:uid="{00000000-000D-0000-FFFF-FFFF00000000}"/>
  </bookViews>
  <sheets>
    <sheet name="📋 Controle" sheetId="1" r:id="rId1"/>
    <sheet name="📊 Dashboard" sheetId="2" r:id="rId2"/>
    <sheet name="ℹ️ Instru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2" l="1"/>
  <c r="H21" i="2" s="1"/>
  <c r="J8" i="2"/>
  <c r="H20" i="2" s="1"/>
  <c r="I8" i="2"/>
  <c r="F19" i="2" s="1"/>
  <c r="H8" i="2"/>
  <c r="H18" i="2" s="1"/>
  <c r="G8" i="2"/>
  <c r="H17" i="2" s="1"/>
  <c r="F8" i="2"/>
  <c r="H16" i="2" s="1"/>
  <c r="E8" i="2"/>
  <c r="H15" i="2" s="1"/>
  <c r="D8" i="2"/>
  <c r="G14" i="2" s="1"/>
  <c r="C8" i="2"/>
  <c r="H13" i="2" s="1"/>
  <c r="B8" i="2"/>
  <c r="H12" i="2" s="1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C12" i="2" l="1"/>
  <c r="C18" i="2"/>
  <c r="C13" i="2"/>
  <c r="C20" i="2"/>
  <c r="F12" i="2"/>
  <c r="H14" i="2"/>
  <c r="C19" i="2" s="1"/>
  <c r="G19" i="2"/>
  <c r="G12" i="2"/>
  <c r="F17" i="2"/>
  <c r="H19" i="2"/>
  <c r="C21" i="2" s="1"/>
  <c r="G17" i="2"/>
  <c r="F15" i="2"/>
  <c r="G15" i="2"/>
  <c r="F20" i="2"/>
  <c r="F13" i="2"/>
  <c r="G20" i="2"/>
  <c r="G13" i="2"/>
  <c r="F18" i="2"/>
  <c r="G18" i="2"/>
  <c r="F16" i="2"/>
  <c r="G16" i="2"/>
  <c r="F21" i="2"/>
  <c r="F14" i="2"/>
  <c r="G21" i="2"/>
  <c r="C17" i="2" l="1"/>
  <c r="C15" i="2"/>
  <c r="C16" i="2"/>
  <c r="C14" i="2"/>
  <c r="B17" i="2"/>
  <c r="B12" i="2"/>
  <c r="B19" i="2"/>
  <c r="B14" i="2"/>
  <c r="B21" i="2"/>
  <c r="B16" i="2"/>
  <c r="B18" i="2"/>
  <c r="B13" i="2"/>
  <c r="B20" i="2"/>
  <c r="B15" i="2"/>
</calcChain>
</file>

<file path=xl/sharedStrings.xml><?xml version="1.0" encoding="utf-8"?>
<sst xmlns="http://schemas.openxmlformats.org/spreadsheetml/2006/main" count="103" uniqueCount="83">
  <si>
    <t>🎓 FORMAÇÃO COMPLETA EM IA — NOCODE  |  Controle de Participação</t>
  </si>
  <si>
    <t>Coloque ✔  na célula correspondente ao aluno quando a aula for concluída</t>
  </si>
  <si>
    <t>#</t>
  </si>
  <si>
    <t>Aula / Módulo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</si>
  <si>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</si>
  <si>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</si>
  <si>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</si>
  <si>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</si>
  <si>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</si>
  <si>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</si>
  <si>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</si>
  <si>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</si>
  <si>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</si>
  <si>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</si>
  <si>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 xml:space="preserve">  Módulo 1 — Agentic Builder</t>
  </si>
  <si>
    <t>Aula 1 - Introdução ao Agentic Builder</t>
  </si>
  <si>
    <t>Aula 2 - Configurando o ambiente</t>
  </si>
  <si>
    <t>Aula 3 - Primeiros passos com agentes</t>
  </si>
  <si>
    <t>Aula 4 - Criando fluxos automatizados</t>
  </si>
  <si>
    <t>Aula 5 - Integrações com APIs externas</t>
  </si>
  <si>
    <t>Aula 6 - Conectando ferramentas NoCode</t>
  </si>
  <si>
    <t>Aula 7 - Gerenciamento de dados</t>
  </si>
  <si>
    <t>Aula 8 - Testes e validações</t>
  </si>
  <si>
    <t>Aula 9 - Deploy do agente</t>
  </si>
  <si>
    <t>Aula 10 - Projeto prático: Agente de vendas</t>
  </si>
  <si>
    <t xml:space="preserve">  Módulo 2 — Agentes IA 2.0</t>
  </si>
  <si>
    <t>Aula 1 - Fundamentos de IA Generativa</t>
  </si>
  <si>
    <t>Aula 2 - Prompt Engineering avançado</t>
  </si>
  <si>
    <t>Aula 3 - Construindo agentes inteligentes</t>
  </si>
  <si>
    <t>Aula 4 - RAG: Recuperação e geração</t>
  </si>
  <si>
    <t>Aula 5 - Memória e contexto em agentes</t>
  </si>
  <si>
    <t>Aula 6 - Multi-agentes: orquestração</t>
  </si>
  <si>
    <t>Aula 7 - Ferramentas e plugins de IA</t>
  </si>
  <si>
    <t>Aula 8 - Automações com IA 2.0</t>
  </si>
  <si>
    <t>Aula 9 - Escalando agentes IA</t>
  </si>
  <si>
    <t>Aula 10 - Casos de uso avançados</t>
  </si>
  <si>
    <t>Aula 11 - Projeto prático: Agente autônomo</t>
  </si>
  <si>
    <t xml:space="preserve">  Módulo 3 — Vibe Builder</t>
  </si>
  <si>
    <t>Aula 1 - Introdução ao Vibe Builder</t>
  </si>
  <si>
    <t>Aula 2 - Design de experiência com IA</t>
  </si>
  <si>
    <t>Aula 3 - Criando interfaces conversacionais</t>
  </si>
  <si>
    <t>Aula 4 - Personalização de agentes</t>
  </si>
  <si>
    <t>Aula 5 - UX/UI para produtos de IA</t>
  </si>
  <si>
    <t>Aula 6 - Integrações com plataformas</t>
  </si>
  <si>
    <t>Aula 7 - Publicação e distribuição</t>
  </si>
  <si>
    <t>Aula 8 - Métricas e otimização</t>
  </si>
  <si>
    <t>Aula 9 - Projeto final: Produto completo</t>
  </si>
  <si>
    <t>📊 DASHBOARD — EVOLUÇÃO DOS ALUNOS  |  Formação Completa em IA NoCode</t>
  </si>
  <si>
    <t>Percentual de conclusão por módulo e por aluno — atualizado automaticamente</t>
  </si>
  <si>
    <t>Seção</t>
  </si>
  <si>
    <t>Módulo 1 — Agentic Builder</t>
  </si>
  <si>
    <t>Módulo 2 — Agentes IA 2.0</t>
  </si>
  <si>
    <t>Módulo 3 — Vibe Builder</t>
  </si>
  <si>
    <t>🏆 PROGRESSO GERAL</t>
  </si>
  <si>
    <t>🥇 RANKING DOS ALUNOS</t>
  </si>
  <si>
    <t>Colocação</t>
  </si>
  <si>
    <t>Aluno</t>
  </si>
  <si>
    <t>Progresso Geral</t>
  </si>
  <si>
    <t>🥇</t>
  </si>
  <si>
    <t>🥈</t>
  </si>
  <si>
    <t>🥉</t>
  </si>
  <si>
    <t>4º</t>
  </si>
  <si>
    <t>5º</t>
  </si>
  <si>
    <t>6º</t>
  </si>
  <si>
    <t>7º</t>
  </si>
  <si>
    <t>8º</t>
  </si>
  <si>
    <t>9º</t>
  </si>
  <si>
    <t>10º</t>
  </si>
  <si>
    <t>ℹ️  Como usar esta planilha</t>
  </si>
  <si>
    <t>📋 Controle de Presença</t>
  </si>
  <si>
    <t>Na aba '📋 Controle', cada linha representa uma aula do curso.</t>
  </si>
  <si>
    <t>Para marcar presença, clique na célula do aluno e da aula e digite  ✔  (ou 'x' ou 'X').</t>
  </si>
  <si>
    <t>A célula ficará verde automaticamente ao ser marcada.</t>
  </si>
  <si>
    <t>📊 Dashboard</t>
  </si>
  <si>
    <t>A aba '📊 Dashboard' atualiza automaticamente o progresso de cada aluno.</t>
  </si>
  <si>
    <t>Percentual de conclusão por módulo e geral aparecem com escala de cores:</t>
  </si>
  <si>
    <t xml:space="preserve">   🔴 Vermelho = 0%   🟡 Amarelo = 50%   🟢 Verde = 100%</t>
  </si>
  <si>
    <t>O ranking classifica automaticamente os alunos pelo progresso geral.</t>
  </si>
  <si>
    <t>✏️ Personalização</t>
  </si>
  <si>
    <t>Para renomear alunos: na aba Controle, altere os nomes na linha 3 (colunas C a L).</t>
  </si>
  <si>
    <t>As fórmulas do Dashboard continuarão funcionando normalmente.</t>
  </si>
  <si>
    <t>⚠️ Observação</t>
  </si>
  <si>
    <t>Se o curso tiver aulas diferentes das listadas, edite os nomes na coluna B da aba Controle.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</si>
</sst>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B2BEC3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0F3460"/>
      <name val="Arial"/>
      <charset val="1"/>
    </font>
    <font>
      <sz val="10"/>
      <color rgb="FF2D3436"/>
      <name val="Arial"/>
      <charset val="1"/>
    </font>
    <font>
      <b/>
      <sz val="9"/>
      <color rgb="FF533483"/>
      <name val="Arial"/>
      <charset val="1"/>
    </font>
    <font>
      <b/>
      <sz val="9"/>
      <color rgb="FF00897B"/>
      <name val="Arial"/>
      <charset val="1"/>
    </font>
    <font>
      <b/>
      <sz val="11"/>
      <color rgb="FF2D3436"/>
      <name val="Arial"/>
      <charset val="1"/>
    </font>
    <font>
      <b/>
      <sz val="12"/>
      <color rgb="FF2D3436"/>
      <name val="Arial"/>
      <charset val="1"/>
    </font>
    <font>
      <b/>
      <sz val="10"/>
      <color rgb="FF2D3436"/>
      <name val="Arial"/>
      <charset val="1"/>
    </font>
    <font>
      <b/>
      <sz val="14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D6E4F7"/>
        <bgColor rgb="FFE0E0E0"/>
      </patternFill>
    </fill>
    <fill>
      <patternFill patternType="solid">
        <fgColor rgb="FFF0F4F8"/>
        <bgColor rgb="FFFDECEA"/>
      </patternFill>
    </fill>
    <fill>
      <patternFill patternType="solid">
        <fgColor rgb="FF533483"/>
        <bgColor rgb="FF2D3436"/>
      </patternFill>
    </fill>
    <fill>
      <patternFill patternType="solid">
        <fgColor rgb="FFE8DEF8"/>
        <bgColor rgb="FFE0E0E0"/>
      </patternFill>
    </fill>
    <fill>
      <patternFill patternType="solid">
        <fgColor rgb="FF00897B"/>
        <bgColor rgb="FF008080"/>
      </patternFill>
    </fill>
    <fill>
      <patternFill patternType="solid">
        <fgColor rgb="FFD0F0EB"/>
        <bgColor rgb="FFD6E4F7"/>
      </patternFill>
    </fill>
    <fill>
      <patternFill patternType="solid">
        <fgColor rgb="FFE0E0E0"/>
        <bgColor rgb="FFE8DEF8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C0392B"/>
        <bgColor rgb="FF993366"/>
      </patternFill>
    </fill>
    <fill>
      <patternFill patternType="solid">
        <fgColor rgb="FFFDECEA"/>
        <bgColor rgb="FFFFF9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9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9" fontId="9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0" fillId="11" borderId="0" xfId="0" applyFill="1"/>
    <xf numFmtId="0" fontId="4" fillId="7" borderId="1" xfId="0" applyFont="1" applyFill="1" applyBorder="1" applyAlignment="1">
      <alignment horizontal="left" vertical="center" indent="1"/>
    </xf>
    <xf numFmtId="9" fontId="10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9" fontId="11" fillId="12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indent="2"/>
    </xf>
    <xf numFmtId="0" fontId="6" fillId="6" borderId="0" xfId="0" applyFont="1" applyFill="1" applyAlignment="1">
      <alignment horizontal="left" vertical="center" indent="1"/>
    </xf>
    <xf numFmtId="0" fontId="6" fillId="13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2"/>
    </xf>
    <xf numFmtId="0" fontId="6" fillId="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2"/>
    </xf>
    <xf numFmtId="0" fontId="6" fillId="10" borderId="0" xfId="0" applyFont="1" applyFill="1" applyAlignment="1">
      <alignment horizontal="left" vertical="center" indent="1"/>
    </xf>
    <xf numFmtId="0" fontId="4" fillId="14" borderId="0" xfId="0" applyFont="1" applyFill="1" applyAlignment="1">
      <alignment horizontal="left" vertical="center" indent="2"/>
    </xf>
    <xf numFmtId="0" fontId="6" fillId="15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12"/>
        <color rgb="FFFFFFFF"/>
        <name val="Arial"/>
        <charset val="1"/>
      </font>
      <fill>
        <patternFill>
          <bgColor rgb="FF00B894"/>
        </patternFill>
      </fill>
    </dxf>
    <dxf>
      <font>
        <b/>
        <sz val="12"/>
        <color rgb="FFFFFFFF"/>
        <name val="Arial"/>
        <charset val="1"/>
      </font>
      <fill>
        <patternFill>
          <bgColor rgb="FF00B89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2BEC3"/>
      <rgbColor rgb="FF808080"/>
      <rgbColor rgb="FF9999FF"/>
      <rgbColor rgb="FF993366"/>
      <rgbColor rgb="FFFFF9E6"/>
      <rgbColor rgb="FFD0F0E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6E4F7"/>
      <rgbColor rgb="FFFDECEA"/>
      <rgbColor rgb="FFE8DEF8"/>
      <rgbColor rgb="FFFF99CC"/>
      <rgbColor rgb="FFCC99FF"/>
      <rgbColor rgb="FFE0E0E0"/>
      <rgbColor rgb="FF3366FF"/>
      <rgbColor rgb="FF00B894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A1A2E"/>
      <rgbColor rgb="FFC0392B"/>
      <rgbColor rgb="FF993366"/>
      <rgbColor rgb="FF533483"/>
      <rgbColor rgb="FF2D34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ColWidth="8.6640625" defaultRowHeight="14.4" x14ac:dyDescent="0.3"/>
  <cols>
    <col min="1" max="1" width="8" customWidth="1"/>
    <col min="2" max="2" width="42" customWidth="1"/>
    <col min="3" max="12" width="11" customWidth="1"/>
  </cols>
  <sheetData>
    <row r="1" spans="1:12" ht="39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.7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0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25.5" customHeight="1" x14ac:dyDescent="0.3">
      <c r="A4" s="3" t="s">
        <v>14</v>
      </c>
      <c r="B4" s="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1.75" customHeight="1" x14ac:dyDescent="0.3">
      <c r="A5" s="8">
        <v>1</v>
      </c>
      <c r="B5" s="9" t="s">
        <v>15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21.75" customHeight="1" x14ac:dyDescent="0.3">
      <c r="A6" s="8">
        <v>2</v>
      </c>
      <c r="B6" s="9" t="s">
        <v>16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8">
        <v>3</v>
      </c>
      <c r="B7" s="9" t="s">
        <v>17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21.75" customHeight="1" x14ac:dyDescent="0.3">
      <c r="A8" s="8">
        <v>4</v>
      </c>
      <c r="B8" s="9" t="s">
        <v>18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21.75" customHeight="1" x14ac:dyDescent="0.3">
      <c r="A9" s="8">
        <v>5</v>
      </c>
      <c r="B9" s="9" t="s">
        <v>19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1.75" customHeight="1" x14ac:dyDescent="0.3">
      <c r="A10" s="8">
        <v>6</v>
      </c>
      <c r="B10" s="9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21.75" customHeight="1" x14ac:dyDescent="0.3">
      <c r="A11" s="8">
        <v>7</v>
      </c>
      <c r="B11" s="9" t="s">
        <v>21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21.75" customHeight="1" x14ac:dyDescent="0.3">
      <c r="A12" s="8">
        <v>8</v>
      </c>
      <c r="B12" s="9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21.75" customHeight="1" x14ac:dyDescent="0.3">
      <c r="A13" s="8">
        <v>9</v>
      </c>
      <c r="B13" s="9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21.75" customHeight="1" x14ac:dyDescent="0.3">
      <c r="A14" s="8">
        <v>10</v>
      </c>
      <c r="B14" s="9" t="s">
        <v>24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25.5" customHeight="1" x14ac:dyDescent="0.3">
      <c r="A15" s="2" t="s">
        <v>25</v>
      </c>
      <c r="B15" s="2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21.75" customHeight="1" x14ac:dyDescent="0.3">
      <c r="A16" s="12">
        <v>1</v>
      </c>
      <c r="B16" s="13" t="s">
        <v>26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1.75" customHeight="1" x14ac:dyDescent="0.3">
      <c r="A17" s="12">
        <v>2</v>
      </c>
      <c r="B17" s="13" t="s">
        <v>27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21.75" customHeight="1" x14ac:dyDescent="0.3">
      <c r="A18" s="12">
        <v>3</v>
      </c>
      <c r="B18" s="13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21.75" customHeight="1" x14ac:dyDescent="0.3">
      <c r="A19" s="12">
        <v>4</v>
      </c>
      <c r="B19" s="13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21.75" customHeight="1" x14ac:dyDescent="0.3">
      <c r="A20" s="12">
        <v>5</v>
      </c>
      <c r="B20" s="13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21.75" customHeight="1" x14ac:dyDescent="0.3">
      <c r="A21" s="12">
        <v>6</v>
      </c>
      <c r="B21" s="13" t="s">
        <v>31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75" customHeight="1" x14ac:dyDescent="0.3">
      <c r="A22" s="12">
        <v>7</v>
      </c>
      <c r="B22" s="13" t="s">
        <v>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21.75" customHeight="1" x14ac:dyDescent="0.3">
      <c r="A23" s="12">
        <v>8</v>
      </c>
      <c r="B23" s="13" t="s">
        <v>33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21.75" customHeight="1" x14ac:dyDescent="0.3">
      <c r="A24" s="12">
        <v>9</v>
      </c>
      <c r="B24" s="13" t="s">
        <v>34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21.75" customHeight="1" x14ac:dyDescent="0.3">
      <c r="A25" s="12">
        <v>10</v>
      </c>
      <c r="B25" s="13" t="s">
        <v>35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21.75" customHeight="1" x14ac:dyDescent="0.3">
      <c r="A26" s="12">
        <v>11</v>
      </c>
      <c r="B26" s="13" t="s">
        <v>36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25.5" customHeight="1" x14ac:dyDescent="0.3">
      <c r="A27" s="1" t="s">
        <v>37</v>
      </c>
      <c r="B27" s="1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21.75" customHeight="1" x14ac:dyDescent="0.3">
      <c r="A28" s="15">
        <v>1</v>
      </c>
      <c r="B28" s="16" t="s">
        <v>38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21.75" customHeight="1" x14ac:dyDescent="0.3">
      <c r="A29" s="15">
        <v>2</v>
      </c>
      <c r="B29" s="16" t="s">
        <v>39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21.75" customHeight="1" x14ac:dyDescent="0.3">
      <c r="A30" s="15">
        <v>3</v>
      </c>
      <c r="B30" s="16" t="s">
        <v>40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21.75" customHeight="1" x14ac:dyDescent="0.3">
      <c r="A31" s="15">
        <v>4</v>
      </c>
      <c r="B31" s="16" t="s">
        <v>41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21.75" customHeight="1" x14ac:dyDescent="0.3">
      <c r="A32" s="15">
        <v>5</v>
      </c>
      <c r="B32" s="16" t="s">
        <v>42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21.75" customHeight="1" x14ac:dyDescent="0.3">
      <c r="A33" s="15">
        <v>6</v>
      </c>
      <c r="B33" s="16" t="s">
        <v>43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21.75" customHeight="1" x14ac:dyDescent="0.3">
      <c r="A34" s="15">
        <v>7</v>
      </c>
      <c r="B34" s="16" t="s">
        <v>44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21.75" customHeight="1" x14ac:dyDescent="0.3">
      <c r="A35" s="15">
        <v>8</v>
      </c>
      <c r="B35" s="16" t="s">
        <v>45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21.75" customHeight="1" x14ac:dyDescent="0.3">
      <c r="A36" s="15">
        <v>9</v>
      </c>
      <c r="B36" s="16" t="s">
        <v>46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</sheetData>
  <mergeCells count="5">
    <mergeCell ref="A1:L1"/>
    <mergeCell ref="A2:L2"/>
    <mergeCell ref="A4:B4"/>
    <mergeCell ref="A15:B15"/>
    <mergeCell ref="A27:B27"/>
  </mergeCells>
  <conditionalFormatting sqref="C4:L36">
    <cfRule type="containsText" dxfId="1" priority="2" operator="containsText" text="✔">
      <formula>NOT(ISERROR(SEARCH("✔",C4)))</formula>
    </cfRule>
    <cfRule type="containsText" dxfId="0" priority="3" operator="containsText" text="x">
      <formula>NOT(ISERROR(SEARCH("x",C4)))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zoomScaleNormal="100" workbookViewId="0">
      <pane xSplit="1" ySplit="3" topLeftCell="B11" activePane="bottomRight" state="frozen"/>
      <selection pane="topRight" activeCell="B1" sqref="B1"/>
      <selection pane="bottomLeft" activeCell="A4" sqref="A4"/>
      <selection pane="bottomRight" sqref="A1:K1"/>
    </sheetView>
  </sheetViews>
  <sheetFormatPr defaultColWidth="8.6640625" defaultRowHeight="14.4" x14ac:dyDescent="0.3"/>
  <cols>
    <col min="1" max="1" width="22" customWidth="1"/>
    <col min="2" max="11" width="12" customWidth="1"/>
  </cols>
  <sheetData>
    <row r="1" spans="1:11" ht="45" customHeight="1" x14ac:dyDescent="0.3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9.5" customHeight="1" x14ac:dyDescent="0.3">
      <c r="A2" s="4" t="s">
        <v>48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6" t="s">
        <v>49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</row>
    <row r="4" spans="1:11" ht="24" customHeight="1" x14ac:dyDescent="0.3">
      <c r="A4" s="17" t="s">
        <v>50</v>
      </c>
      <c r="B4" s="18">
        <f>IFERROR((COUNTIF('📋 Controle'!C5:C14,"✔")+COUNTIF('📋 Controle'!C5:C14,"x")+COUNTIF('📋 Controle'!C5:C14,"X"))/10,0)</f>
        <v>0</v>
      </c>
      <c r="C4" s="18">
        <f>IFERROR((COUNTIF('📋 Controle'!D5:D14,"✔")+COUNTIF('📋 Controle'!D5:D14,"x")+COUNTIF('📋 Controle'!D5:D14,"X"))/10,0)</f>
        <v>0</v>
      </c>
      <c r="D4" s="18">
        <f>IFERROR((COUNTIF('📋 Controle'!E5:E14,"✔")+COUNTIF('📋 Controle'!E5:E14,"x")+COUNTIF('📋 Controle'!E5:E14,"X"))/10,0)</f>
        <v>0</v>
      </c>
      <c r="E4" s="18">
        <f>IFERROR((COUNTIF('📋 Controle'!F5:F14,"✔")+COUNTIF('📋 Controle'!F5:F14,"x")+COUNTIF('📋 Controle'!F5:F14,"X"))/10,0)</f>
        <v>0</v>
      </c>
      <c r="F4" s="18">
        <f>IFERROR((COUNTIF('📋 Controle'!G5:G14,"✔")+COUNTIF('📋 Controle'!G5:G14,"x")+COUNTIF('📋 Controle'!G5:G14,"X"))/10,0)</f>
        <v>0</v>
      </c>
      <c r="G4" s="18">
        <f>IFERROR((COUNTIF('📋 Controle'!H5:H14,"✔")+COUNTIF('📋 Controle'!H5:H14,"x")+COUNTIF('📋 Controle'!H5:H14,"X"))/10,0)</f>
        <v>0</v>
      </c>
      <c r="H4" s="18">
        <f>IFERROR((COUNTIF('📋 Controle'!I5:I14,"✔")+COUNTIF('📋 Controle'!I5:I14,"x")+COUNTIF('📋 Controle'!I5:I14,"X"))/10,0)</f>
        <v>0</v>
      </c>
      <c r="I4" s="18">
        <f>IFERROR((COUNTIF('📋 Controle'!J5:J14,"✔")+COUNTIF('📋 Controle'!J5:J14,"x")+COUNTIF('📋 Controle'!J5:J14,"X"))/10,0)</f>
        <v>0</v>
      </c>
      <c r="J4" s="18">
        <f>IFERROR((COUNTIF('📋 Controle'!K5:K14,"✔")+COUNTIF('📋 Controle'!K5:K14,"x")+COUNTIF('📋 Controle'!K5:K14,"X"))/10,0)</f>
        <v>0</v>
      </c>
      <c r="K4" s="18">
        <f>IFERROR((COUNTIF('📋 Controle'!L5:L14,"✔")+COUNTIF('📋 Controle'!L5:L14,"x")+COUNTIF('📋 Controle'!L5:L14,"X"))/10,0)</f>
        <v>0</v>
      </c>
    </row>
    <row r="5" spans="1:11" ht="24" customHeight="1" x14ac:dyDescent="0.3">
      <c r="A5" s="19" t="s">
        <v>51</v>
      </c>
      <c r="B5" s="18">
        <f>IFERROR((COUNTIF('📋 Controle'!C16:C26,"✔")+COUNTIF('📋 Controle'!C16:C26,"x")+COUNTIF('📋 Controle'!C16:C26,"X"))/11,0)</f>
        <v>0</v>
      </c>
      <c r="C5" s="18">
        <f>IFERROR((COUNTIF('📋 Controle'!D16:D26,"✔")+COUNTIF('📋 Controle'!D16:D26,"x")+COUNTIF('📋 Controle'!D16:D26,"X"))/11,0)</f>
        <v>0</v>
      </c>
      <c r="D5" s="18">
        <f>IFERROR((COUNTIF('📋 Controle'!E16:E26,"✔")+COUNTIF('📋 Controle'!E16:E26,"x")+COUNTIF('📋 Controle'!E16:E26,"X"))/11,0)</f>
        <v>0</v>
      </c>
      <c r="E5" s="18">
        <f>IFERROR((COUNTIF('📋 Controle'!F16:F26,"✔")+COUNTIF('📋 Controle'!F16:F26,"x")+COUNTIF('📋 Controle'!F16:F26,"X"))/11,0)</f>
        <v>0</v>
      </c>
      <c r="F5" s="18">
        <f>IFERROR((COUNTIF('📋 Controle'!G16:G26,"✔")+COUNTIF('📋 Controle'!G16:G26,"x")+COUNTIF('📋 Controle'!G16:G26,"X"))/11,0)</f>
        <v>0</v>
      </c>
      <c r="G5" s="18">
        <f>IFERROR((COUNTIF('📋 Controle'!H16:H26,"✔")+COUNTIF('📋 Controle'!H16:H26,"x")+COUNTIF('📋 Controle'!H16:H26,"X"))/11,0)</f>
        <v>0</v>
      </c>
      <c r="H5" s="18">
        <f>IFERROR((COUNTIF('📋 Controle'!I16:I26,"✔")+COUNTIF('📋 Controle'!I16:I26,"x")+COUNTIF('📋 Controle'!I16:I26,"X"))/11,0)</f>
        <v>0</v>
      </c>
      <c r="I5" s="18">
        <f>IFERROR((COUNTIF('📋 Controle'!J16:J26,"✔")+COUNTIF('📋 Controle'!J16:J26,"x")+COUNTIF('📋 Controle'!J16:J26,"X"))/11,0)</f>
        <v>0</v>
      </c>
      <c r="J5" s="18">
        <f>IFERROR((COUNTIF('📋 Controle'!K16:K26,"✔")+COUNTIF('📋 Controle'!K16:K26,"x")+COUNTIF('📋 Controle'!K16:K26,"X"))/11,0)</f>
        <v>0</v>
      </c>
      <c r="K5" s="18">
        <f>IFERROR((COUNTIF('📋 Controle'!L16:L26,"✔")+COUNTIF('📋 Controle'!L16:L26,"x")+COUNTIF('📋 Controle'!L16:L26,"X"))/11,0)</f>
        <v>0</v>
      </c>
    </row>
    <row r="6" spans="1:11" ht="24" customHeight="1" x14ac:dyDescent="0.3">
      <c r="A6" s="20" t="s">
        <v>52</v>
      </c>
      <c r="B6" s="18">
        <f>IFERROR((COUNTIF('📋 Controle'!C28:C36,"✔")+COUNTIF('📋 Controle'!C28:C36,"x")+COUNTIF('📋 Controle'!C28:C36,"X"))/9,0)</f>
        <v>0</v>
      </c>
      <c r="C6" s="18">
        <f>IFERROR((COUNTIF('📋 Controle'!D28:D36,"✔")+COUNTIF('📋 Controle'!D28:D36,"x")+COUNTIF('📋 Controle'!D28:D36,"X"))/9,0)</f>
        <v>0</v>
      </c>
      <c r="D6" s="18">
        <f>IFERROR((COUNTIF('📋 Controle'!E28:E36,"✔")+COUNTIF('📋 Controle'!E28:E36,"x")+COUNTIF('📋 Controle'!E28:E36,"X"))/9,0)</f>
        <v>0</v>
      </c>
      <c r="E6" s="18">
        <f>IFERROR((COUNTIF('📋 Controle'!F28:F36,"✔")+COUNTIF('📋 Controle'!F28:F36,"x")+COUNTIF('📋 Controle'!F28:F36,"X"))/9,0)</f>
        <v>0</v>
      </c>
      <c r="F6" s="18">
        <f>IFERROR((COUNTIF('📋 Controle'!G28:G36,"✔")+COUNTIF('📋 Controle'!G28:G36,"x")+COUNTIF('📋 Controle'!G28:G36,"X"))/9,0)</f>
        <v>0</v>
      </c>
      <c r="G6" s="18">
        <f>IFERROR((COUNTIF('📋 Controle'!H28:H36,"✔")+COUNTIF('📋 Controle'!H28:H36,"x")+COUNTIF('📋 Controle'!H28:H36,"X"))/9,0)</f>
        <v>0</v>
      </c>
      <c r="H6" s="18">
        <f>IFERROR((COUNTIF('📋 Controle'!I28:I36,"✔")+COUNTIF('📋 Controle'!I28:I36,"x")+COUNTIF('📋 Controle'!I28:I36,"X"))/9,0)</f>
        <v>0</v>
      </c>
      <c r="I6" s="18">
        <f>IFERROR((COUNTIF('📋 Controle'!J28:J36,"✔")+COUNTIF('📋 Controle'!J28:J36,"x")+COUNTIF('📋 Controle'!J28:J36,"X"))/9,0)</f>
        <v>0</v>
      </c>
      <c r="J6" s="18">
        <f>IFERROR((COUNTIF('📋 Controle'!K28:K36,"✔")+COUNTIF('📋 Controle'!K28:K36,"x")+COUNTIF('📋 Controle'!K28:K36,"X"))/9,0)</f>
        <v>0</v>
      </c>
      <c r="K6" s="18">
        <f>IFERROR((COUNTIF('📋 Controle'!L28:L36,"✔")+COUNTIF('📋 Controle'!L28:L36,"x")+COUNTIF('📋 Controle'!L28:L36,"X"))/9,0)</f>
        <v>0</v>
      </c>
    </row>
    <row r="7" spans="1:11" ht="7.5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27.75" customHeight="1" x14ac:dyDescent="0.3">
      <c r="A8" s="22" t="s">
        <v>53</v>
      </c>
      <c r="B8" s="23">
        <f>IFERROR((COUNTIF('📋 Controle'!C5:C14,"✔")+COUNTIF('📋 Controle'!C5:C14,"x")+COUNTIF('📋 Controle'!C5:C14,"X")+COUNTIF('📋 Controle'!C16:C26,"✔")+COUNTIF('📋 Controle'!C16:C26,"x")+COUNTIF('📋 Controle'!C16:C26,"X")+COUNTIF('📋 Controle'!C28:C36,"✔")+COUNTIF('📋 Controle'!C28:C36,"x")+COUNTIF('📋 Controle'!C28:C36,"X"))/30,0)</f>
        <v>0</v>
      </c>
      <c r="C8" s="23">
        <f>IFERROR((COUNTIF('📋 Controle'!D5:D14,"✔")+COUNTIF('📋 Controle'!D5:D14,"x")+COUNTIF('📋 Controle'!D5:D14,"X")+COUNTIF('📋 Controle'!D16:D26,"✔")+COUNTIF('📋 Controle'!D16:D26,"x")+COUNTIF('📋 Controle'!D16:D26,"X")+COUNTIF('📋 Controle'!D28:D36,"✔")+COUNTIF('📋 Controle'!D28:D36,"x")+COUNTIF('📋 Controle'!D28:D36,"X"))/30,0)</f>
        <v>0</v>
      </c>
      <c r="D8" s="23">
        <f>IFERROR((COUNTIF('📋 Controle'!E5:E14,"✔")+COUNTIF('📋 Controle'!E5:E14,"x")+COUNTIF('📋 Controle'!E5:E14,"X")+COUNTIF('📋 Controle'!E16:E26,"✔")+COUNTIF('📋 Controle'!E16:E26,"x")+COUNTIF('📋 Controle'!E16:E26,"X")+COUNTIF('📋 Controle'!E28:E36,"✔")+COUNTIF('📋 Controle'!E28:E36,"x")+COUNTIF('📋 Controle'!E28:E36,"X"))/30,0)</f>
        <v>0</v>
      </c>
      <c r="E8" s="23">
        <f>IFERROR((COUNTIF('📋 Controle'!F5:F14,"✔")+COUNTIF('📋 Controle'!F5:F14,"x")+COUNTIF('📋 Controle'!F5:F14,"X")+COUNTIF('📋 Controle'!F16:F26,"✔")+COUNTIF('📋 Controle'!F16:F26,"x")+COUNTIF('📋 Controle'!F16:F26,"X")+COUNTIF('📋 Controle'!F28:F36,"✔")+COUNTIF('📋 Controle'!F28:F36,"x")+COUNTIF('📋 Controle'!F28:F36,"X"))/30,0)</f>
        <v>0</v>
      </c>
      <c r="F8" s="23">
        <f>IFERROR((COUNTIF('📋 Controle'!G5:G14,"✔")+COUNTIF('📋 Controle'!G5:G14,"x")+COUNTIF('📋 Controle'!G5:G14,"X")+COUNTIF('📋 Controle'!G16:G26,"✔")+COUNTIF('📋 Controle'!G16:G26,"x")+COUNTIF('📋 Controle'!G16:G26,"X")+COUNTIF('📋 Controle'!G28:G36,"✔")+COUNTIF('📋 Controle'!G28:G36,"x")+COUNTIF('📋 Controle'!G28:G36,"X"))/30,0)</f>
        <v>0</v>
      </c>
      <c r="G8" s="23">
        <f>IFERROR((COUNTIF('📋 Controle'!H5:H14,"✔")+COUNTIF('📋 Controle'!H5:H14,"x")+COUNTIF('📋 Controle'!H5:H14,"X")+COUNTIF('📋 Controle'!H16:H26,"✔")+COUNTIF('📋 Controle'!H16:H26,"x")+COUNTIF('📋 Controle'!H16:H26,"X")+COUNTIF('📋 Controle'!H28:H36,"✔")+COUNTIF('📋 Controle'!H28:H36,"x")+COUNTIF('📋 Controle'!H28:H36,"X"))/30,0)</f>
        <v>0</v>
      </c>
      <c r="H8" s="23">
        <f>IFERROR((COUNTIF('📋 Controle'!I5:I14,"✔")+COUNTIF('📋 Controle'!I5:I14,"x")+COUNTIF('📋 Controle'!I5:I14,"X")+COUNTIF('📋 Controle'!I16:I26,"✔")+COUNTIF('📋 Controle'!I16:I26,"x")+COUNTIF('📋 Controle'!I16:I26,"X")+COUNTIF('📋 Controle'!I28:I36,"✔")+COUNTIF('📋 Controle'!I28:I36,"x")+COUNTIF('📋 Controle'!I28:I36,"X"))/30,0)</f>
        <v>0</v>
      </c>
      <c r="I8" s="23">
        <f>IFERROR((COUNTIF('📋 Controle'!J5:J14,"✔")+COUNTIF('📋 Controle'!J5:J14,"x")+COUNTIF('📋 Controle'!J5:J14,"X")+COUNTIF('📋 Controle'!J16:J26,"✔")+COUNTIF('📋 Controle'!J16:J26,"x")+COUNTIF('📋 Controle'!J16:J26,"X")+COUNTIF('📋 Controle'!J28:J36,"✔")+COUNTIF('📋 Controle'!J28:J36,"x")+COUNTIF('📋 Controle'!J28:J36,"X"))/30,0)</f>
        <v>0</v>
      </c>
      <c r="J8" s="23">
        <f>IFERROR((COUNTIF('📋 Controle'!K5:K14,"✔")+COUNTIF('📋 Controle'!K5:K14,"x")+COUNTIF('📋 Controle'!K5:K14,"X")+COUNTIF('📋 Controle'!K16:K26,"✔")+COUNTIF('📋 Controle'!K16:K26,"x")+COUNTIF('📋 Controle'!K16:K26,"X")+COUNTIF('📋 Controle'!K28:K36,"✔")+COUNTIF('📋 Controle'!K28:K36,"x")+COUNTIF('📋 Controle'!K28:K36,"X"))/30,0)</f>
        <v>0</v>
      </c>
      <c r="K8" s="23">
        <f>IFERROR((COUNTIF('📋 Controle'!L5:L14,"✔")+COUNTIF('📋 Controle'!L5:L14,"x")+COUNTIF('📋 Controle'!L5:L14,"X")+COUNTIF('📋 Controle'!L16:L26,"✔")+COUNTIF('📋 Controle'!L16:L26,"x")+COUNTIF('📋 Controle'!L16:L26,"X")+COUNTIF('📋 Controle'!L28:L36,"✔")+COUNTIF('📋 Controle'!L28:L36,"x")+COUNTIF('📋 Controle'!L28:L36,"X"))/30,0)</f>
        <v>0</v>
      </c>
    </row>
    <row r="10" spans="1:11" ht="25.5" customHeight="1" x14ac:dyDescent="0.3">
      <c r="A10" s="3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9.5" customHeight="1" x14ac:dyDescent="0.3">
      <c r="A11" s="24" t="s">
        <v>55</v>
      </c>
      <c r="B11" s="24" t="s">
        <v>56</v>
      </c>
      <c r="C11" s="24" t="s">
        <v>57</v>
      </c>
    </row>
    <row r="12" spans="1:11" ht="19.5" customHeight="1" x14ac:dyDescent="0.3">
      <c r="A12" s="25" t="s">
        <v>58</v>
      </c>
      <c r="B12" s="26" t="str">
        <f>IFERROR(INDEX($E$12:$E$21,MATCH(1,$G$12:$G$21,0)),"—")</f>
        <v>Aluno 1</v>
      </c>
      <c r="C12" s="27">
        <f>IFERROR(LARGE($H$12:$H$21,1),0)</f>
        <v>0</v>
      </c>
      <c r="E12" t="s">
        <v>4</v>
      </c>
      <c r="F12" s="28">
        <f>B8</f>
        <v>0</v>
      </c>
      <c r="G12">
        <f>RANK(B8,$B$8:$K$8,0)+COUNTIF($B$8:B8,B8)-1</f>
        <v>1</v>
      </c>
      <c r="H12" s="28">
        <f>B8</f>
        <v>0</v>
      </c>
    </row>
    <row r="13" spans="1:11" ht="19.5" customHeight="1" x14ac:dyDescent="0.3">
      <c r="A13" s="25" t="s">
        <v>59</v>
      </c>
      <c r="B13" s="26" t="str">
        <f>IFERROR(INDEX($E$12:$E$21,MATCH(2,$G$12:$G$21,0)),"—")</f>
        <v>Aluno 2</v>
      </c>
      <c r="C13" s="27">
        <f>IFERROR(LARGE($H$12:$H$21,2),0)</f>
        <v>0</v>
      </c>
      <c r="E13" t="s">
        <v>5</v>
      </c>
      <c r="F13" s="28">
        <f>C8</f>
        <v>0</v>
      </c>
      <c r="G13">
        <f>RANK(C8,$B$8:$K$8,0)+COUNTIF($B$8:C8,C8)-1</f>
        <v>2</v>
      </c>
      <c r="H13" s="28">
        <f>C8</f>
        <v>0</v>
      </c>
    </row>
    <row r="14" spans="1:11" ht="19.5" customHeight="1" x14ac:dyDescent="0.3">
      <c r="A14" s="25" t="s">
        <v>60</v>
      </c>
      <c r="B14" s="26" t="str">
        <f>IFERROR(INDEX($E$12:$E$21,MATCH(3,$G$12:$G$21,0)),"—")</f>
        <v>Aluno 3</v>
      </c>
      <c r="C14" s="27">
        <f>IFERROR(LARGE($H$12:$H$21,3),0)</f>
        <v>0</v>
      </c>
      <c r="E14" t="s">
        <v>6</v>
      </c>
      <c r="F14" s="28">
        <f>D8</f>
        <v>0</v>
      </c>
      <c r="G14">
        <f>RANK(D8,$B$8:$K$8,0)+COUNTIF($B$8:D8,D8)-1</f>
        <v>3</v>
      </c>
      <c r="H14" s="28">
        <f>D8</f>
        <v>0</v>
      </c>
    </row>
    <row r="15" spans="1:11" ht="19.5" customHeight="1" x14ac:dyDescent="0.3">
      <c r="A15" s="29" t="s">
        <v>61</v>
      </c>
      <c r="B15" s="30" t="str">
        <f>IFERROR(INDEX($E$12:$E$21,MATCH(4,$G$12:$G$21,0)),"—")</f>
        <v>Aluno 4</v>
      </c>
      <c r="C15" s="31">
        <f>IFERROR(LARGE($H$12:$H$21,4),0)</f>
        <v>0</v>
      </c>
      <c r="E15" t="s">
        <v>7</v>
      </c>
      <c r="F15" s="28">
        <f>E8</f>
        <v>0</v>
      </c>
      <c r="G15">
        <f>RANK(E8,$B$8:$K$8,0)+COUNTIF($B$8:E8,E8)-1</f>
        <v>4</v>
      </c>
      <c r="H15" s="28">
        <f>E8</f>
        <v>0</v>
      </c>
    </row>
    <row r="16" spans="1:11" ht="19.5" customHeight="1" x14ac:dyDescent="0.3">
      <c r="A16" s="29" t="s">
        <v>62</v>
      </c>
      <c r="B16" s="30" t="str">
        <f>IFERROR(INDEX($E$12:$E$21,MATCH(5,$G$12:$G$21,0)),"—")</f>
        <v>Aluno 5</v>
      </c>
      <c r="C16" s="31">
        <f>IFERROR(LARGE($H$12:$H$21,5),0)</f>
        <v>0</v>
      </c>
      <c r="E16" t="s">
        <v>8</v>
      </c>
      <c r="F16" s="28">
        <f>F8</f>
        <v>0</v>
      </c>
      <c r="G16">
        <f>RANK(F8,$B$8:$K$8,0)+COUNTIF($B$8:F8,F8)-1</f>
        <v>5</v>
      </c>
      <c r="H16" s="28">
        <f>F8</f>
        <v>0</v>
      </c>
    </row>
    <row r="17" spans="1:8" ht="19.5" customHeight="1" x14ac:dyDescent="0.3">
      <c r="A17" s="29" t="s">
        <v>63</v>
      </c>
      <c r="B17" s="30" t="str">
        <f>IFERROR(INDEX($E$12:$E$21,MATCH(6,$G$12:$G$21,0)),"—")</f>
        <v>Aluno 6</v>
      </c>
      <c r="C17" s="31">
        <f>IFERROR(LARGE($H$12:$H$21,6),0)</f>
        <v>0</v>
      </c>
      <c r="E17" t="s">
        <v>9</v>
      </c>
      <c r="F17" s="28">
        <f>G8</f>
        <v>0</v>
      </c>
      <c r="G17">
        <f>RANK(G8,$B$8:$K$8,0)+COUNTIF($B$8:G8,G8)-1</f>
        <v>6</v>
      </c>
      <c r="H17" s="28">
        <f>G8</f>
        <v>0</v>
      </c>
    </row>
    <row r="18" spans="1:8" ht="19.5" customHeight="1" x14ac:dyDescent="0.3">
      <c r="A18" s="29" t="s">
        <v>64</v>
      </c>
      <c r="B18" s="30" t="str">
        <f>IFERROR(INDEX($E$12:$E$21,MATCH(7,$G$12:$G$21,0)),"—")</f>
        <v>Aluno 7</v>
      </c>
      <c r="C18" s="31">
        <f>IFERROR(LARGE($H$12:$H$21,7),0)</f>
        <v>0</v>
      </c>
      <c r="E18" t="s">
        <v>10</v>
      </c>
      <c r="F18" s="28">
        <f>H8</f>
        <v>0</v>
      </c>
      <c r="G18">
        <f>RANK(H8,$B$8:$K$8,0)+COUNTIF($B$8:H8,H8)-1</f>
        <v>7</v>
      </c>
      <c r="H18" s="28">
        <f>H8</f>
        <v>0</v>
      </c>
    </row>
    <row r="19" spans="1:8" ht="19.5" customHeight="1" x14ac:dyDescent="0.3">
      <c r="A19" s="29" t="s">
        <v>65</v>
      </c>
      <c r="B19" s="30" t="str">
        <f>IFERROR(INDEX($E$12:$E$21,MATCH(8,$G$12:$G$21,0)),"—")</f>
        <v>Aluno 8</v>
      </c>
      <c r="C19" s="31">
        <f>IFERROR(LARGE($H$12:$H$21,8),0)</f>
        <v>0</v>
      </c>
      <c r="E19" t="s">
        <v>11</v>
      </c>
      <c r="F19" s="28">
        <f>I8</f>
        <v>0</v>
      </c>
      <c r="G19">
        <f>RANK(I8,$B$8:$K$8,0)+COUNTIF($B$8:I8,I8)-1</f>
        <v>8</v>
      </c>
      <c r="H19" s="28">
        <f>I8</f>
        <v>0</v>
      </c>
    </row>
    <row r="20" spans="1:8" ht="19.5" customHeight="1" x14ac:dyDescent="0.3">
      <c r="A20" s="29" t="s">
        <v>66</v>
      </c>
      <c r="B20" s="30" t="str">
        <f>IFERROR(INDEX($E$12:$E$21,MATCH(9,$G$12:$G$21,0)),"—")</f>
        <v>Aluno 9</v>
      </c>
      <c r="C20" s="31">
        <f>IFERROR(LARGE($H$12:$H$21,9),0)</f>
        <v>0</v>
      </c>
      <c r="E20" t="s">
        <v>12</v>
      </c>
      <c r="F20" s="28">
        <f>J8</f>
        <v>0</v>
      </c>
      <c r="G20">
        <f>RANK(J8,$B$8:$K$8,0)+COUNTIF($B$8:J8,J8)-1</f>
        <v>9</v>
      </c>
      <c r="H20" s="28">
        <f>J8</f>
        <v>0</v>
      </c>
    </row>
    <row r="21" spans="1:8" ht="19.5" customHeight="1" x14ac:dyDescent="0.3">
      <c r="A21" s="29" t="s">
        <v>67</v>
      </c>
      <c r="B21" s="30" t="str">
        <f>IFERROR(INDEX($E$12:$E$21,MATCH(10,$G$12:$G$21,0)),"—")</f>
        <v>Aluno 10</v>
      </c>
      <c r="C21" s="31">
        <f>IFERROR(LARGE($H$12:$H$21,10),0)</f>
        <v>0</v>
      </c>
      <c r="E21" t="s">
        <v>13</v>
      </c>
      <c r="F21" s="28">
        <f>K8</f>
        <v>0</v>
      </c>
      <c r="G21">
        <f>RANK(K8,$B$8:$K$8,0)+COUNTIF($B$8:K8,K8)-1</f>
        <v>10</v>
      </c>
      <c r="H21" s="28">
        <f>K8</f>
        <v>0</v>
      </c>
    </row>
  </sheetData>
  <mergeCells count="3">
    <mergeCell ref="A1:K1"/>
    <mergeCell ref="A2:K2"/>
    <mergeCell ref="A10:K10"/>
  </mergeCells>
  <conditionalFormatting sqref="B4:K8">
    <cfRule type="colorScale" priority="2">
      <colorScale>
        <cfvo type="num" val="0"/>
        <cfvo type="num" val="0.5"/>
        <cfvo type="num" val="1"/>
        <color rgb="FFFFB3B3"/>
        <color rgb="FFFFEAA0"/>
        <color rgb="FF00B89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showGridLines="0" tabSelected="1" topLeftCell="A4" zoomScaleNormal="100" workbookViewId="0">
      <selection activeCell="D11" sqref="D11"/>
    </sheetView>
  </sheetViews>
  <sheetFormatPr defaultColWidth="8.6640625" defaultRowHeight="14.4" x14ac:dyDescent="0.3"/>
  <cols>
    <col min="1" max="1" width="116.109375" customWidth="1"/>
  </cols>
  <sheetData>
    <row r="1" spans="1:1" ht="39.75" customHeight="1" x14ac:dyDescent="0.3">
      <c r="A1" s="32" t="s">
        <v>68</v>
      </c>
    </row>
    <row r="2" spans="1:1" ht="21.75" customHeight="1" x14ac:dyDescent="0.3">
      <c r="A2" s="33" t="s">
        <v>69</v>
      </c>
    </row>
    <row r="3" spans="1:1" ht="21.75" customHeight="1" x14ac:dyDescent="0.3">
      <c r="A3" s="34" t="s">
        <v>70</v>
      </c>
    </row>
    <row r="4" spans="1:1" ht="21.75" customHeight="1" x14ac:dyDescent="0.3">
      <c r="A4" s="34" t="s">
        <v>71</v>
      </c>
    </row>
    <row r="5" spans="1:1" ht="21.75" customHeight="1" x14ac:dyDescent="0.3">
      <c r="A5" s="34" t="s">
        <v>72</v>
      </c>
    </row>
    <row r="6" spans="1:1" ht="7.5" customHeight="1" x14ac:dyDescent="0.3">
      <c r="A6" s="35"/>
    </row>
    <row r="7" spans="1:1" ht="21.75" customHeight="1" x14ac:dyDescent="0.3">
      <c r="A7" s="36" t="s">
        <v>73</v>
      </c>
    </row>
    <row r="8" spans="1:1" ht="21.75" customHeight="1" x14ac:dyDescent="0.3">
      <c r="A8" s="37" t="s">
        <v>74</v>
      </c>
    </row>
    <row r="9" spans="1:1" ht="21.75" customHeight="1" x14ac:dyDescent="0.3">
      <c r="A9" s="37" t="s">
        <v>75</v>
      </c>
    </row>
    <row r="10" spans="1:1" ht="21.75" customHeight="1" x14ac:dyDescent="0.3">
      <c r="A10" s="37" t="s">
        <v>76</v>
      </c>
    </row>
    <row r="11" spans="1:1" ht="21.75" customHeight="1" x14ac:dyDescent="0.3">
      <c r="A11" s="37" t="s">
        <v>77</v>
      </c>
    </row>
    <row r="12" spans="1:1" ht="7.5" customHeight="1" x14ac:dyDescent="0.3">
      <c r="A12" s="35"/>
    </row>
    <row r="13" spans="1:1" ht="21.75" customHeight="1" x14ac:dyDescent="0.3">
      <c r="A13" s="38" t="s">
        <v>78</v>
      </c>
    </row>
    <row r="14" spans="1:1" ht="21.75" customHeight="1" x14ac:dyDescent="0.3">
      <c r="A14" s="39" t="s">
        <v>79</v>
      </c>
    </row>
    <row r="15" spans="1:1" ht="21.75" customHeight="1" x14ac:dyDescent="0.3">
      <c r="A15" s="39" t="s">
        <v>80</v>
      </c>
    </row>
    <row r="16" spans="1:1" ht="7.5" customHeight="1" x14ac:dyDescent="0.3">
      <c r="A16" s="35"/>
    </row>
    <row r="17" spans="1:1" ht="21.75" customHeight="1" x14ac:dyDescent="0.3">
      <c r="A17" s="40" t="s">
        <v>81</v>
      </c>
    </row>
    <row r="18" spans="1:1" ht="21.75" customHeight="1" x14ac:dyDescent="0.3">
      <c r="A18" s="41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📋 Controle</vt:lpstr>
      <vt:lpstr>📊 Dashboard</vt:lpstr>
      <vt:lpstr>ℹ️ 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Alexandre Job</cp:lastModifiedBy>
  <cp:revision>0</cp:revision>
  <dcterms:created xsi:type="dcterms:W3CDTF">2026-06-08T20:05:06Z</dcterms:created>
  <dcterms:modified xsi:type="dcterms:W3CDTF">2026-06-08T20:24:50Z</dcterms:modified>
  <dc:language>en-US</dc:language>
</cp:coreProperties>
</file>